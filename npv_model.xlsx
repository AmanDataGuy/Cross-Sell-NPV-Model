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NP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Base</t>
        </is>
      </c>
      <c r="C1" t="inlineStr">
        <is>
          <t>Best</t>
        </is>
      </c>
      <c r="D1" t="inlineStr">
        <is>
          <t>Worst</t>
        </is>
      </c>
    </row>
    <row r="2">
      <c r="A2" t="inlineStr">
        <is>
          <t>Net interest margin</t>
        </is>
      </c>
      <c r="B2" t="n">
        <v>0.02</v>
      </c>
      <c r="C2" t="n">
        <v>0.03</v>
      </c>
      <c r="D2" t="n">
        <v>0.015</v>
      </c>
    </row>
    <row r="3">
      <c r="A3" t="inlineStr">
        <is>
          <t>Retention years</t>
        </is>
      </c>
      <c r="B3" t="n">
        <v>3</v>
      </c>
      <c r="C3" t="n">
        <v>4</v>
      </c>
      <c r="D3" t="n">
        <v>2</v>
      </c>
    </row>
    <row r="4">
      <c r="A4" t="inlineStr">
        <is>
          <t>Discount rate</t>
        </is>
      </c>
      <c r="B4" t="n">
        <v>0.08</v>
      </c>
      <c r="C4" t="n">
        <v>0.06</v>
      </c>
      <c r="D4" t="n">
        <v>0.1</v>
      </c>
    </row>
    <row r="5">
      <c r="A5" t="inlineStr">
        <is>
          <t>Campaign cost per contact</t>
        </is>
      </c>
      <c r="B5" t="n">
        <v>5</v>
      </c>
      <c r="C5" t="n">
        <v>3</v>
      </c>
      <c r="D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Customers</t>
        </is>
      </c>
      <c r="C1" t="inlineStr">
        <is>
          <t>Avg Propensity</t>
        </is>
      </c>
      <c r="D1" t="inlineStr">
        <is>
          <t>Avg Balance (floored at 0)</t>
        </is>
      </c>
      <c r="E1" t="inlineStr">
        <is>
          <t>NPV Base</t>
        </is>
      </c>
      <c r="F1" t="inlineStr">
        <is>
          <t>NPV Best</t>
        </is>
      </c>
      <c r="G1" t="inlineStr">
        <is>
          <t>NPV Worst</t>
        </is>
      </c>
    </row>
    <row r="2">
      <c r="A2" t="inlineStr">
        <is>
          <t>High</t>
        </is>
      </c>
      <c r="B2" t="n">
        <v>5702</v>
      </c>
      <c r="C2" t="n">
        <v>0.4871891723798667</v>
      </c>
      <c r="D2" t="n">
        <v>2291.367414942125</v>
      </c>
      <c r="E2">
        <f>B2*C2*(D2*Assumptions!$B$2*((1-(1+Assumptions!$B$4)^-Assumptions!$B$3)/Assumptions!$B$4))-B2*Assumptions!$B$5</f>
        <v/>
      </c>
      <c r="F2">
        <f>B2*C2*(D2*Assumptions!$C$2*((1-(1+Assumptions!$C$4)^-Assumptions!$C$3)/Assumptions!$C$4))-B2*Assumptions!$C$5</f>
        <v/>
      </c>
      <c r="G2">
        <f>B2*C2*(D2*Assumptions!$D$2*((1-(1+Assumptions!$D$4)^-Assumptions!$D$3)/Assumptions!$D$4))-B2*Assumptions!$D$5</f>
        <v/>
      </c>
    </row>
    <row r="3">
      <c r="A3" t="inlineStr">
        <is>
          <t>Medium</t>
        </is>
      </c>
      <c r="B3" t="n">
        <v>13873</v>
      </c>
      <c r="C3" t="n">
        <v>0.1153567089971888</v>
      </c>
      <c r="D3" t="n">
        <v>1628.969581200894</v>
      </c>
      <c r="E3">
        <f>B3*C3*(D3*Assumptions!$B$2*((1-(1+Assumptions!$B$4)^-Assumptions!$B$3)/Assumptions!$B$4))-B3*Assumptions!$B$5</f>
        <v/>
      </c>
      <c r="F3">
        <f>B3*C3*(D3*Assumptions!$C$2*((1-(1+Assumptions!$C$4)^-Assumptions!$C$3)/Assumptions!$C$4))-B3*Assumptions!$C$5</f>
        <v/>
      </c>
      <c r="G3">
        <f>B3*C3*(D3*Assumptions!$D$2*((1-(1+Assumptions!$D$4)^-Assumptions!$D$3)/Assumptions!$D$4))-B3*Assumptions!$D$5</f>
        <v/>
      </c>
    </row>
    <row r="4">
      <c r="A4" t="inlineStr">
        <is>
          <t>Low</t>
        </is>
      </c>
      <c r="B4" t="n">
        <v>25636</v>
      </c>
      <c r="C4" t="n">
        <v>0.03536070874635668</v>
      </c>
      <c r="D4" t="n">
        <v>1057.964737088469</v>
      </c>
      <c r="E4">
        <f>B4*C4*(D4*Assumptions!$B$2*((1-(1+Assumptions!$B$4)^-Assumptions!$B$3)/Assumptions!$B$4))-B4*Assumptions!$B$5</f>
        <v/>
      </c>
      <c r="F4">
        <f>B4*C4*(D4*Assumptions!$C$2*((1-(1+Assumptions!$C$4)^-Assumptions!$C$3)/Assumptions!$C$4))-B4*Assumptions!$C$5</f>
        <v/>
      </c>
      <c r="G4">
        <f>B4*C4*(D4*Assumptions!$D$2*((1-(1+Assumptions!$D$4)^-Assumptions!$D$3)/Assumptions!$D$4))-B4*Assumptions!$D$5</f>
        <v/>
      </c>
    </row>
    <row r="5">
      <c r="A5" t="inlineStr">
        <is>
          <t>Total</t>
        </is>
      </c>
      <c r="B5">
        <f>SUM(B2:B4)</f>
        <v/>
      </c>
      <c r="C5" t="inlineStr"/>
      <c r="D5" t="inlineStr"/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2026-07-27T21:09:46Z</dcterms:created>
  <dcterms:modified xmlns:dcterms="http://purl.org/dc/terms/" xmlns:xsi="http://www.w3.org/2001/XMLSchema-instance" xsi:type="dcterms:W3CDTF">2026-07-27T21:09:46Z</dcterms:modified>
</cp:coreProperties>
</file>